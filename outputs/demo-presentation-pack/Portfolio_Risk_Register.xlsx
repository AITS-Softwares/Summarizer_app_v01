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edd4ba7d9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3c8e9031c770422f"/>
    <x:sheet xmlns:r="http://schemas.openxmlformats.org/officeDocument/2006/relationships" name="Risk Register" sheetId="2" r:id="Ra6949e4fd979408a"/>
    <x:sheet xmlns:r="http://schemas.openxmlformats.org/officeDocument/2006/relationships" name="Portfolio Detail" sheetId="3" r:id="R81d592d88ade4ada"/>
    <x:sheet xmlns:r="http://schemas.openxmlformats.org/officeDocument/2006/relationships" name="Read Me" sheetId="4" r:id="R644c7df3583c4f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,,&quot;M&quot;"/>
    <x:numFmt numFmtId="201" formatCode="0.0%"/>
    <x:numFmt numFmtId="202" formatCode="yyyy-mm-dd"/>
    <x:numFmt numFmtId="203" formatCode="$#,##0"/>
    <x:numFmt numFmtId="204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8C7B64"/>
      <x:name val="Carlito"/>
    </x:font>
    <x:font>
      <x:b/>
      <x:sz val="11"/>
      <x:color rgb="FF5C4325"/>
      <x:name val="Carlito"/>
    </x:font>
    <x:font>
      <x:b/>
      <x:sz val="12"/>
      <x:color rgb="FF2E251A"/>
      <x:name val="Carlito"/>
    </x:font>
    <x:font>
      <x:b/>
      <x:sz val="11"/>
      <x:color rgb="FF5C3E17"/>
      <x:name val="Carlito"/>
    </x:font>
    <x:font>
      <x:sz val="11"/>
      <x:color rgb="FF5E503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84661"/>
      </x:patternFill>
    </x:fill>
    <x:fill>
      <x:patternFill patternType="solid">
        <x:fgColor rgb="FFFFF9EF"/>
      </x:patternFill>
    </x:fill>
    <x:fill>
      <x:patternFill patternType="solid">
        <x:fgColor rgb="FFF2E8D9"/>
      </x:patternFill>
    </x:fill>
    <x:fill>
      <x:patternFill patternType="solid">
        <x:fgColor rgb="FFFFFEFA"/>
      </x:patternFill>
    </x:fill>
    <x:fill>
      <x:patternFill patternType="solid">
        <x:fgColor rgb="FFF4E3C6"/>
      </x:patternFill>
    </x:fill>
  </x:fills>
  <x:borders count="44">
    <x:border/>
    <x:border>
      <x:left style="thin">
        <x:color rgb="FFE6D6BD"/>
      </x:left>
      <x:top style="thin">
        <x:color rgb="FFE6D6BD"/>
      </x:top>
      <x:bottom style="thin">
        <x:color rgb="FFE6D6BD"/>
      </x:bottom>
    </x:border>
    <x:border>
      <x:top style="thin">
        <x:color rgb="FFE6D6BD"/>
      </x:top>
      <x:bottom style="thin">
        <x:color rgb="FFE6D6BD"/>
      </x:bottom>
    </x:border>
    <x:border>
      <x:right style="thin">
        <x:color rgb="FFE6D6BD"/>
      </x:right>
      <x:top style="thin">
        <x:color rgb="FFE6D6BD"/>
      </x:top>
      <x:bottom style="thin">
        <x:color rgb="FFE6D6BD"/>
      </x:bottom>
    </x:border>
    <x:border>
      <x:left style="thin">
        <x:color rgb="FFE6D6BD"/>
      </x:left>
      <x:top style="thin">
        <x:color rgb="FFE6D6BD"/>
      </x:top>
    </x:border>
    <x:border>
      <x:top style="thin">
        <x:color rgb="FFE6D6BD"/>
      </x:top>
    </x:border>
    <x:border>
      <x:right style="thin">
        <x:color rgb="FFE6D6BD"/>
      </x:right>
      <x:top style="thin">
        <x:color rgb="FFE6D6BD"/>
      </x:top>
    </x:border>
    <x:border>
      <x:left style="thin">
        <x:color rgb="FFE6D6BD"/>
      </x:left>
    </x:border>
    <x:border>
      <x:right style="thin">
        <x:color rgb="FFE6D6BD"/>
      </x:right>
    </x:border>
    <x:border>
      <x:left style="thin">
        <x:color rgb="FFE6D6BD"/>
      </x:left>
      <x:bottom style="thin">
        <x:color rgb="FFE6D6BD"/>
      </x:bottom>
    </x:border>
    <x:border>
      <x:bottom style="thin">
        <x:color rgb="FFE6D6BD"/>
      </x:bottom>
    </x:border>
    <x:border>
      <x:right style="thin">
        <x:color rgb="FFE6D6BD"/>
      </x:right>
      <x:bottom style="thin">
        <x:color rgb="FFE6D6BD"/>
      </x:bottom>
    </x:border>
    <x:border>
      <x:right style="thin">
        <x:color rgb="FFEFE3D1"/>
      </x:right>
      <x:bottom style="thin">
        <x:color rgb="FFEFE3D1"/>
      </x:bottom>
    </x:border>
    <x:border>
      <x:left style="thin">
        <x:color rgb="FFEFE3D1"/>
      </x:left>
      <x:right style="thin">
        <x:color rgb="FFEFE3D1"/>
      </x:right>
      <x:bottom style="thin">
        <x:color rgb="FFEFE3D1"/>
      </x:bottom>
    </x:border>
    <x:border>
      <x:left style="thin">
        <x:color rgb="FFEFE3D1"/>
      </x:left>
      <x:bottom style="thin">
        <x:color rgb="FFEFE3D1"/>
      </x:bottom>
    </x:border>
    <x:border>
      <x:right style="thin">
        <x:color rgb="FFEFE3D1"/>
      </x:right>
      <x:top style="thin">
        <x:color rgb="FFEFE3D1"/>
      </x:top>
      <x:bottom style="thin">
        <x:color rgb="FFEFE3D1"/>
      </x:bottom>
    </x:border>
    <x:border>
      <x:left style="thin">
        <x:color rgb="FFEFE3D1"/>
      </x:left>
      <x:right style="thin">
        <x:color rgb="FFEFE3D1"/>
      </x:right>
      <x:top style="thin">
        <x:color rgb="FFEFE3D1"/>
      </x:top>
      <x:bottom style="thin">
        <x:color rgb="FFEFE3D1"/>
      </x:bottom>
    </x:border>
    <x:border>
      <x:left style="thin">
        <x:color rgb="FFEFE3D1"/>
      </x:left>
      <x:top style="thin">
        <x:color rgb="FFEFE3D1"/>
      </x:top>
      <x:bottom style="thin">
        <x:color rgb="FFEFE3D1"/>
      </x:bottom>
    </x:border>
    <x:border>
      <x:right style="thin">
        <x:color rgb="FFEFE3D1"/>
      </x:right>
      <x:top style="thin">
        <x:color rgb="FFEFE3D1"/>
      </x:top>
    </x:border>
    <x:border>
      <x:left style="thin">
        <x:color rgb="FFEFE3D1"/>
      </x:left>
      <x:right style="thin">
        <x:color rgb="FFEFE3D1"/>
      </x:right>
      <x:top style="thin">
        <x:color rgb="FFEFE3D1"/>
      </x:top>
    </x:border>
    <x:border>
      <x:left style="thin">
        <x:color rgb="FFEFE3D1"/>
      </x:left>
      <x:top style="thin">
        <x:color rgb="FFEFE3D1"/>
      </x:top>
    </x:border>
    <x:border>
      <x:left style="thin">
        <x:color rgb="FFE6D6BD"/>
      </x:left>
      <x:right style="thin">
        <x:color rgb="FFEFE3D1"/>
      </x:right>
      <x:bottom style="thin">
        <x:color rgb="FFEFE3D1"/>
      </x:bottom>
    </x:border>
    <x:border>
      <x:left style="thin">
        <x:color rgb="FFEFE3D1"/>
      </x:left>
      <x:right style="thin">
        <x:color rgb="FFE6D6BD"/>
      </x:right>
      <x:bottom style="thin">
        <x:color rgb="FFEFE3D1"/>
      </x:bottom>
    </x:border>
    <x:border>
      <x:left style="thin">
        <x:color rgb="FFE6D6BD"/>
      </x:left>
      <x:right style="thin">
        <x:color rgb="FFEFE3D1"/>
      </x:right>
      <x:top style="thin">
        <x:color rgb="FFEFE3D1"/>
      </x:top>
      <x:bottom style="thin">
        <x:color rgb="FFEFE3D1"/>
      </x:bottom>
    </x:border>
    <x:border>
      <x:left style="thin">
        <x:color rgb="FFEFE3D1"/>
      </x:left>
      <x:right style="thin">
        <x:color rgb="FFE6D6BD"/>
      </x:right>
      <x:top style="thin">
        <x:color rgb="FFEFE3D1"/>
      </x:top>
      <x:bottom style="thin">
        <x:color rgb="FFEFE3D1"/>
      </x:bottom>
    </x:border>
    <x:border>
      <x:left style="thin">
        <x:color rgb="FFE6D6BD"/>
      </x:left>
      <x:right style="thin">
        <x:color rgb="FFEFE3D1"/>
      </x:right>
      <x:top style="thin">
        <x:color rgb="FFEFE3D1"/>
      </x:top>
      <x:bottom style="thin">
        <x:color rgb="FFE6D6BD"/>
      </x:bottom>
    </x:border>
    <x:border>
      <x:left style="thin">
        <x:color rgb="FFEFE3D1"/>
      </x:left>
      <x:right style="thin">
        <x:color rgb="FFEFE3D1"/>
      </x:right>
      <x:top style="thin">
        <x:color rgb="FFEFE3D1"/>
      </x:top>
      <x:bottom style="thin">
        <x:color rgb="FFE6D6BD"/>
      </x:bottom>
    </x:border>
    <x:border>
      <x:left style="thin">
        <x:color rgb="FFEFE3D1"/>
      </x:left>
      <x:right style="thin">
        <x:color rgb="FFE6D6BD"/>
      </x:right>
      <x:top style="thin">
        <x:color rgb="FFEFE3D1"/>
      </x:top>
      <x:bottom style="thin">
        <x:color rgb="FFE6D6BD"/>
      </x:bottom>
    </x:border>
    <x:border>
      <x:right style="thin">
        <x:color rgb="FFF0E5D4"/>
      </x:right>
      <x:bottom style="thin">
        <x:color rgb="FFF0E5D4"/>
      </x:bottom>
    </x:border>
    <x:border>
      <x:left style="thin">
        <x:color rgb="FFF0E5D4"/>
      </x:left>
      <x:right style="thin">
        <x:color rgb="FFF0E5D4"/>
      </x:right>
      <x:bottom style="thin">
        <x:color rgb="FFF0E5D4"/>
      </x:bottom>
    </x:border>
    <x:border>
      <x:left style="thin">
        <x:color rgb="FFF0E5D4"/>
      </x:left>
      <x:bottom style="thin">
        <x:color rgb="FFF0E5D4"/>
      </x:bottom>
    </x:border>
    <x:border>
      <x:right style="thin">
        <x:color rgb="FFF0E5D4"/>
      </x:right>
      <x:top style="thin">
        <x:color rgb="FFF0E5D4"/>
      </x:top>
      <x:bottom style="thin">
        <x:color rgb="FFF0E5D4"/>
      </x:bottom>
    </x:border>
    <x:border>
      <x:left style="thin">
        <x:color rgb="FFF0E5D4"/>
      </x:left>
      <x:right style="thin">
        <x:color rgb="FFF0E5D4"/>
      </x:right>
      <x:top style="thin">
        <x:color rgb="FFF0E5D4"/>
      </x:top>
      <x:bottom style="thin">
        <x:color rgb="FFF0E5D4"/>
      </x:bottom>
    </x:border>
    <x:border>
      <x:left style="thin">
        <x:color rgb="FFF0E5D4"/>
      </x:left>
      <x:top style="thin">
        <x:color rgb="FFF0E5D4"/>
      </x:top>
      <x:bottom style="thin">
        <x:color rgb="FFF0E5D4"/>
      </x:bottom>
    </x:border>
    <x:border>
      <x:right style="thin">
        <x:color rgb="FFF0E5D4"/>
      </x:right>
      <x:top style="thin">
        <x:color rgb="FFF0E5D4"/>
      </x:top>
    </x:border>
    <x:border>
      <x:left style="thin">
        <x:color rgb="FFF0E5D4"/>
      </x:left>
      <x:right style="thin">
        <x:color rgb="FFF0E5D4"/>
      </x:right>
      <x:top style="thin">
        <x:color rgb="FFF0E5D4"/>
      </x:top>
    </x:border>
    <x:border>
      <x:left style="thin">
        <x:color rgb="FFF0E5D4"/>
      </x:left>
      <x:top style="thin">
        <x:color rgb="FFF0E5D4"/>
      </x:top>
    </x:border>
    <x:border>
      <x:left style="thin">
        <x:color rgb="FFE6D6BD"/>
      </x:left>
      <x:right style="thin">
        <x:color rgb="FFF0E5D4"/>
      </x:right>
      <x:bottom style="thin">
        <x:color rgb="FFF0E5D4"/>
      </x:bottom>
    </x:border>
    <x:border>
      <x:left style="thin">
        <x:color rgb="FFF0E5D4"/>
      </x:left>
      <x:right style="thin">
        <x:color rgb="FFE6D6BD"/>
      </x:right>
      <x:bottom style="thin">
        <x:color rgb="FFF0E5D4"/>
      </x:bottom>
    </x:border>
    <x:border>
      <x:left style="thin">
        <x:color rgb="FFE6D6BD"/>
      </x:left>
      <x:right style="thin">
        <x:color rgb="FFF0E5D4"/>
      </x:right>
      <x:top style="thin">
        <x:color rgb="FFF0E5D4"/>
      </x:top>
      <x:bottom style="thin">
        <x:color rgb="FFF0E5D4"/>
      </x:bottom>
    </x:border>
    <x:border>
      <x:left style="thin">
        <x:color rgb="FFF0E5D4"/>
      </x:left>
      <x:right style="thin">
        <x:color rgb="FFE6D6BD"/>
      </x:right>
      <x:top style="thin">
        <x:color rgb="FFF0E5D4"/>
      </x:top>
      <x:bottom style="thin">
        <x:color rgb="FFF0E5D4"/>
      </x:bottom>
    </x:border>
    <x:border>
      <x:left style="thin">
        <x:color rgb="FFE6D6BD"/>
      </x:left>
      <x:right style="thin">
        <x:color rgb="FFF0E5D4"/>
      </x:right>
      <x:top style="thin">
        <x:color rgb="FFF0E5D4"/>
      </x:top>
      <x:bottom style="thin">
        <x:color rgb="FFE6D6BD"/>
      </x:bottom>
    </x:border>
    <x:border>
      <x:left style="thin">
        <x:color rgb="FFF0E5D4"/>
      </x:left>
      <x:right style="thin">
        <x:color rgb="FFF0E5D4"/>
      </x:right>
      <x:top style="thin">
        <x:color rgb="FFF0E5D4"/>
      </x:top>
      <x:bottom style="thin">
        <x:color rgb="FFE6D6BD"/>
      </x:bottom>
    </x:border>
    <x:border>
      <x:left style="thin">
        <x:color rgb="FFF0E5D4"/>
      </x:left>
      <x:right style="thin">
        <x:color rgb="FFE6D6BD"/>
      </x:right>
      <x:top style="thin">
        <x:color rgb="FFF0E5D4"/>
      </x:top>
      <x:bottom style="thin">
        <x:color rgb="FFE6D6BD"/>
      </x:bottom>
    </x:border>
  </x:borders>
  <x:cellStyleXfs count="1">
    <x:xf numFmtId="0" fontId="0" fillId="0" borderId="0"/>
  </x:cellStyleXfs>
  <x:cellXfs count="1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201" fontId="4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wrapText="1"/>
    </x:xf>
    <x:xf numFmtId="0" fontId="6" fillId="3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6" fillId="3" borderId="7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8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3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19" xfId="0" applyNumberFormat="1" applyFont="1" applyFill="1" applyBorder="1" applyAlignment="1">
      <x:alignment wrapText="1"/>
    </x:xf>
    <x:xf numFmtId="0" fontId="0" fillId="5" borderId="20" xfId="0" applyNumberFormat="1" applyFont="1" applyFill="1" applyBorder="1" applyAlignment="1">
      <x:alignment wrapText="1"/>
    </x:xf>
    <x:xf numFmtId="202" fontId="0" fillId="5" borderId="14" xfId="0" applyNumberFormat="1" applyFont="1" applyFill="1" applyBorder="1" applyAlignment="1">
      <x:alignment wrapText="1"/>
    </x:xf>
    <x:xf numFmtId="202" fontId="0" fillId="5" borderId="17" xfId="0" applyNumberFormat="1" applyFont="1" applyFill="1" applyBorder="1" applyAlignment="1">
      <x:alignment wrapText="1"/>
    </x:xf>
    <x:xf numFmtId="202" fontId="0" fillId="5" borderId="2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5" borderId="21" xfId="0" applyNumberFormat="1" applyFont="1" applyFill="1" applyBorder="1" applyAlignment="1">
      <x:alignment wrapText="1"/>
    </x:xf>
    <x:xf numFmtId="202" fontId="0" fillId="5" borderId="22" xfId="0" applyNumberFormat="1" applyFont="1" applyFill="1" applyBorder="1" applyAlignment="1">
      <x:alignment wrapText="1"/>
    </x:xf>
    <x:xf numFmtId="0" fontId="0" fillId="5" borderId="23" xfId="0" applyNumberFormat="1" applyFont="1" applyFill="1" applyBorder="1" applyAlignment="1">
      <x:alignment wrapText="1"/>
    </x:xf>
    <x:xf numFmtId="202" fontId="0" fillId="5" borderId="24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202" fontId="0" fillId="5" borderId="27" xfId="0" applyNumberFormat="1" applyFont="1" applyFill="1" applyBorder="1" applyAlignment="1">
      <x:alignment wrapText="1"/>
    </x:xf>
    <x:xf numFmtId="0" fontId="0" fillId="5" borderId="28" xfId="0" applyNumberFormat="1" applyFont="1" applyFill="1" applyBorder="1"/>
    <x:xf numFmtId="0" fontId="0" fillId="5" borderId="29" xfId="0" applyNumberFormat="1" applyFont="1" applyFill="1" applyBorder="1"/>
    <x:xf numFmtId="0" fontId="0" fillId="5" borderId="30" xfId="0" applyNumberFormat="1" applyFont="1" applyFill="1" applyBorder="1"/>
    <x:xf numFmtId="0" fontId="0" fillId="5" borderId="31" xfId="0" applyNumberFormat="1" applyFont="1" applyFill="1" applyBorder="1"/>
    <x:xf numFmtId="0" fontId="0" fillId="5" borderId="32" xfId="0" applyNumberFormat="1" applyFont="1" applyFill="1" applyBorder="1"/>
    <x:xf numFmtId="0" fontId="0" fillId="5" borderId="33" xfId="0" applyNumberFormat="1" applyFont="1" applyFill="1" applyBorder="1"/>
    <x:xf numFmtId="0" fontId="0" fillId="5" borderId="34" xfId="0" applyNumberFormat="1" applyFont="1" applyFill="1" applyBorder="1"/>
    <x:xf numFmtId="0" fontId="0" fillId="5" borderId="35" xfId="0" applyNumberFormat="1" applyFont="1" applyFill="1" applyBorder="1"/>
    <x:xf numFmtId="0" fontId="0" fillId="5" borderId="36" xfId="0" applyNumberFormat="1" applyFont="1" applyFill="1" applyBorder="1"/>
    <x:xf numFmtId="0" fontId="0" fillId="5" borderId="28" xfId="0" applyNumberFormat="1" applyFont="1" applyFill="1" applyBorder="1" applyAlignment="1">
      <x:alignment wrapText="1"/>
    </x:xf>
    <x:xf numFmtId="0" fontId="0" fillId="5" borderId="29" xfId="0" applyNumberFormat="1" applyFont="1" applyFill="1" applyBorder="1" applyAlignment="1">
      <x:alignment wrapText="1"/>
    </x:xf>
    <x:xf numFmtId="0" fontId="0" fillId="5" borderId="30" xfId="0" applyNumberFormat="1" applyFont="1" applyFill="1" applyBorder="1" applyAlignment="1">
      <x:alignment wrapText="1"/>
    </x:xf>
    <x:xf numFmtId="0" fontId="0" fillId="5" borderId="31" xfId="0" applyNumberFormat="1" applyFont="1" applyFill="1" applyBorder="1" applyAlignment="1">
      <x:alignment wrapText="1"/>
    </x:xf>
    <x:xf numFmtId="0" fontId="0" fillId="5" borderId="32" xfId="0" applyNumberFormat="1" applyFont="1" applyFill="1" applyBorder="1" applyAlignment="1">
      <x:alignment wrapText="1"/>
    </x:xf>
    <x:xf numFmtId="0" fontId="0" fillId="5" borderId="33" xfId="0" applyNumberFormat="1" applyFont="1" applyFill="1" applyBorder="1" applyAlignment="1">
      <x:alignment wrapText="1"/>
    </x:xf>
    <x:xf numFmtId="0" fontId="0" fillId="5" borderId="34" xfId="0" applyNumberFormat="1" applyFont="1" applyFill="1" applyBorder="1" applyAlignment="1">
      <x:alignment wrapText="1"/>
    </x:xf>
    <x:xf numFmtId="0" fontId="0" fillId="5" borderId="35" xfId="0" applyNumberFormat="1" applyFont="1" applyFill="1" applyBorder="1" applyAlignment="1">
      <x:alignment wrapText="1"/>
    </x:xf>
    <x:xf numFmtId="0" fontId="0" fillId="5" borderId="36" xfId="0" applyNumberFormat="1" applyFont="1" applyFill="1" applyBorder="1" applyAlignment="1">
      <x:alignment wrapText="1"/>
    </x:xf>
    <x:xf numFmtId="0" fontId="0" fillId="5" borderId="28" xfId="0" applyNumberFormat="1" applyFont="1" applyFill="1" applyBorder="1" applyAlignment="1">
      <x:alignment vertical="top" wrapText="1"/>
    </x:xf>
    <x:xf numFmtId="0" fontId="0" fillId="5" borderId="29" xfId="0" applyNumberFormat="1" applyFont="1" applyFill="1" applyBorder="1" applyAlignment="1">
      <x:alignment vertical="top" wrapText="1"/>
    </x:xf>
    <x:xf numFmtId="0" fontId="0" fillId="5" borderId="30" xfId="0" applyNumberFormat="1" applyFont="1" applyFill="1" applyBorder="1" applyAlignment="1">
      <x:alignment vertical="top" wrapText="1"/>
    </x:xf>
    <x:xf numFmtId="0" fontId="0" fillId="5" borderId="31" xfId="0" applyNumberFormat="1" applyFont="1" applyFill="1" applyBorder="1" applyAlignment="1">
      <x:alignment vertical="top" wrapText="1"/>
    </x:xf>
    <x:xf numFmtId="0" fontId="0" fillId="5" borderId="32" xfId="0" applyNumberFormat="1" applyFont="1" applyFill="1" applyBorder="1" applyAlignment="1">
      <x:alignment vertical="top" wrapText="1"/>
    </x:xf>
    <x:xf numFmtId="0" fontId="0" fillId="5" borderId="33" xfId="0" applyNumberFormat="1" applyFont="1" applyFill="1" applyBorder="1" applyAlignment="1">
      <x:alignment vertical="top" wrapText="1"/>
    </x:xf>
    <x:xf numFmtId="0" fontId="0" fillId="5" borderId="34" xfId="0" applyNumberFormat="1" applyFont="1" applyFill="1" applyBorder="1" applyAlignment="1">
      <x:alignment vertical="top" wrapText="1"/>
    </x:xf>
    <x:xf numFmtId="0" fontId="0" fillId="5" borderId="35" xfId="0" applyNumberFormat="1" applyFont="1" applyFill="1" applyBorder="1" applyAlignment="1">
      <x:alignment vertical="top" wrapText="1"/>
    </x:xf>
    <x:xf numFmtId="0" fontId="0" fillId="5" borderId="36" xfId="0" applyNumberFormat="1" applyFont="1" applyFill="1" applyBorder="1" applyAlignment="1">
      <x:alignment vertical="top" wrapText="1"/>
    </x:xf>
    <x:xf numFmtId="0" fontId="0" fillId="5" borderId="37" xfId="0" applyNumberFormat="1" applyFont="1" applyFill="1" applyBorder="1" applyAlignment="1">
      <x:alignment vertical="top" wrapText="1"/>
    </x:xf>
    <x:xf numFmtId="0" fontId="0" fillId="5" borderId="38" xfId="0" applyNumberFormat="1" applyFont="1" applyFill="1" applyBorder="1" applyAlignment="1">
      <x:alignment vertical="top" wrapText="1"/>
    </x:xf>
    <x:xf numFmtId="0" fontId="0" fillId="5" borderId="39" xfId="0" applyNumberFormat="1" applyFont="1" applyFill="1" applyBorder="1" applyAlignment="1">
      <x:alignment vertical="top" wrapText="1"/>
    </x:xf>
    <x:xf numFmtId="0" fontId="0" fillId="5" borderId="40" xfId="0" applyNumberFormat="1" applyFont="1" applyFill="1" applyBorder="1" applyAlignment="1">
      <x:alignment vertical="top" wrapText="1"/>
    </x:xf>
    <x:xf numFmtId="0" fontId="0" fillId="5" borderId="41" xfId="0" applyNumberFormat="1" applyFont="1" applyFill="1" applyBorder="1" applyAlignment="1">
      <x:alignment vertical="top" wrapText="1"/>
    </x:xf>
    <x:xf numFmtId="0" fontId="0" fillId="5" borderId="42" xfId="0" applyNumberFormat="1" applyFont="1" applyFill="1" applyBorder="1" applyAlignment="1">
      <x:alignment vertical="top" wrapText="1"/>
    </x:xf>
    <x:xf numFmtId="0" fontId="0" fillId="5" borderId="43" xfId="0" applyNumberFormat="1" applyFont="1" applyFill="1" applyBorder="1" applyAlignment="1">
      <x:alignment vertical="top" wrapText="1"/>
    </x:xf>
    <x:xf numFmtId="203" fontId="0" fillId="5" borderId="29" xfId="0" applyNumberFormat="1" applyFont="1" applyFill="1" applyBorder="1" applyAlignment="1">
      <x:alignment vertical="top" wrapText="1"/>
    </x:xf>
    <x:xf numFmtId="203" fontId="0" fillId="5" borderId="32" xfId="0" applyNumberFormat="1" applyFont="1" applyFill="1" applyBorder="1" applyAlignment="1">
      <x:alignment vertical="top" wrapText="1"/>
    </x:xf>
    <x:xf numFmtId="203" fontId="0" fillId="5" borderId="42" xfId="0" applyNumberFormat="1" applyFont="1" applyFill="1" applyBorder="1" applyAlignment="1">
      <x:alignment vertical="top" wrapText="1"/>
    </x:xf>
    <x:xf numFmtId="202" fontId="0" fillId="5" borderId="29" xfId="0" applyNumberFormat="1" applyFont="1" applyFill="1" applyBorder="1" applyAlignment="1">
      <x:alignment vertical="top" wrapText="1"/>
    </x:xf>
    <x:xf numFmtId="202" fontId="0" fillId="5" borderId="32" xfId="0" applyNumberFormat="1" applyFont="1" applyFill="1" applyBorder="1" applyAlignment="1">
      <x:alignment vertical="top" wrapText="1"/>
    </x:xf>
    <x:xf numFmtId="202" fontId="0" fillId="5" borderId="42" xfId="0" applyNumberFormat="1" applyFont="1" applyFill="1" applyBorder="1" applyAlignment="1">
      <x:alignment vertical="top" wrapText="1"/>
    </x:xf>
    <x:xf numFmtId="204" fontId="0" fillId="5" borderId="29" xfId="0" applyNumberFormat="1" applyFont="1" applyFill="1" applyBorder="1" applyAlignment="1">
      <x:alignment vertical="top" wrapText="1"/>
    </x:xf>
    <x:xf numFmtId="204" fontId="0" fillId="5" borderId="32" xfId="0" applyNumberFormat="1" applyFont="1" applyFill="1" applyBorder="1" applyAlignment="1">
      <x:alignment vertical="top" wrapText="1"/>
    </x:xf>
    <x:xf numFmtId="204" fontId="0" fillId="5" borderId="42" xfId="0" applyNumberFormat="1" applyFont="1" applyFill="1" applyBorder="1" applyAlignment="1">
      <x:alignment vertical="top" wrapText="1"/>
    </x:xf>
    <x:xf numFmtId="0" fontId="0" fillId="5" borderId="37" xfId="0" applyNumberFormat="1" applyFont="1" applyFill="1" applyBorder="1" applyAlignment="1">
      <x:alignment wrapText="1"/>
    </x:xf>
    <x:xf numFmtId="0" fontId="0" fillId="5" borderId="38" xfId="0" applyNumberFormat="1" applyFont="1" applyFill="1" applyBorder="1" applyAlignment="1">
      <x:alignment wrapText="1"/>
    </x:xf>
    <x:xf numFmtId="0" fontId="0" fillId="5" borderId="39" xfId="0" applyNumberFormat="1" applyFont="1" applyFill="1" applyBorder="1" applyAlignment="1">
      <x:alignment wrapText="1"/>
    </x:xf>
    <x:xf numFmtId="0" fontId="0" fillId="5" borderId="40" xfId="0" applyNumberFormat="1" applyFont="1" applyFill="1" applyBorder="1" applyAlignment="1">
      <x:alignment wrapText="1"/>
    </x:xf>
    <x:xf numFmtId="0" fontId="0" fillId="5" borderId="41" xfId="0" applyNumberFormat="1" applyFont="1" applyFill="1" applyBorder="1" applyAlignment="1">
      <x:alignment wrapText="1"/>
    </x:xf>
    <x:xf numFmtId="0" fontId="0" fillId="5" borderId="42" xfId="0" applyNumberFormat="1" applyFont="1" applyFill="1" applyBorder="1" applyAlignment="1">
      <x:alignment wrapText="1"/>
    </x:xf>
    <x:xf numFmtId="0" fontId="0" fillId="5" borderId="43" xfId="0" applyNumberFormat="1" applyFont="1" applyFill="1" applyBorder="1" applyAlignment="1">
      <x:alignment wrapText="1"/>
    </x:xf>
    <x:xf numFmtId="203" fontId="0" fillId="5" borderId="29" xfId="0" applyNumberFormat="1" applyFont="1" applyFill="1" applyBorder="1" applyAlignment="1">
      <x:alignment wrapText="1"/>
    </x:xf>
    <x:xf numFmtId="203" fontId="0" fillId="5" borderId="32" xfId="0" applyNumberFormat="1" applyFont="1" applyFill="1" applyBorder="1" applyAlignment="1">
      <x:alignment wrapText="1"/>
    </x:xf>
    <x:xf numFmtId="203" fontId="0" fillId="5" borderId="42" xfId="0" applyNumberFormat="1" applyFont="1" applyFill="1" applyBorder="1" applyAlignment="1">
      <x:alignment wrapText="1"/>
    </x:xf>
    <x:xf numFmtId="201" fontId="0" fillId="5" borderId="29" xfId="0" applyNumberFormat="1" applyFont="1" applyFill="1" applyBorder="1" applyAlignment="1">
      <x:alignment wrapText="1"/>
    </x:xf>
    <x:xf numFmtId="201" fontId="0" fillId="5" borderId="32" xfId="0" applyNumberFormat="1" applyFont="1" applyFill="1" applyBorder="1" applyAlignment="1">
      <x:alignment wrapText="1"/>
    </x:xf>
    <x:xf numFmtId="201" fontId="0" fillId="5" borderId="42" xfId="0" applyNumberFormat="1" applyFont="1" applyFill="1" applyBorder="1" applyAlignment="1">
      <x:alignment wrapText="1"/>
    </x:xf>
    <x:xf numFmtId="202" fontId="0" fillId="5" borderId="29" xfId="0" applyNumberFormat="1" applyFont="1" applyFill="1" applyBorder="1" applyAlignment="1">
      <x:alignment wrapText="1"/>
    </x:xf>
    <x:xf numFmtId="202" fontId="0" fillId="5" borderId="32" xfId="0" applyNumberFormat="1" applyFont="1" applyFill="1" applyBorder="1" applyAlignment="1">
      <x:alignment wrapText="1"/>
    </x:xf>
    <x:xf numFmtId="202" fontId="0" fillId="5" borderId="4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0" fontId="0" fillId="3" borderId="4" xfId="0" applyNumberFormat="1" applyFont="1" applyFill="1" applyBorder="1"/>
    <x:xf numFmtId="201" fontId="0" fillId="3" borderId="5" xfId="0" applyNumberFormat="1" applyFont="1" applyFill="1" applyBorder="1"/>
    <x:xf numFmtId="0" fontId="0" fillId="3" borderId="5" xfId="0" applyNumberFormat="1" applyFont="1" applyFill="1" applyBorder="1"/>
    <x:xf numFmtId="201" fontId="0" fillId="3" borderId="6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201" fontId="0" fillId="3" borderId="5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201" fontId="0" fillId="3" borderId="6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A3827"/>
      </x:font>
      <x:fill>
        <x:patternFill patternType="solid">
          <x:bgColor rgb="FFFBE4DE"/>
        </x:patternFill>
      </x:fill>
    </x:dxf>
    <x:dxf>
      <x:font>
        <x:color rgb="FF8A5A17"/>
      </x:font>
      <x:fill>
        <x:patternFill patternType="solid">
          <x:bgColor rgb="FFFFF2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f1a79d55a4fa7" /><Relationship Type="http://schemas.openxmlformats.org/officeDocument/2006/relationships/theme" Target="/xl/theme/theme1.xml" Id="R28f6a13f9c364ea8" /><Relationship Type="http://schemas.openxmlformats.org/officeDocument/2006/relationships/sharedStrings" Target="/xl/sharedStrings.xml" Id="R144a7f5c9a70455c" /><Relationship Type="http://schemas.openxmlformats.org/officeDocument/2006/relationships/worksheet" Target="/xl/worksheets/sheet1.xml" Id="R3c8e9031c770422f" /><Relationship Type="http://schemas.openxmlformats.org/officeDocument/2006/relationships/worksheet" Target="/xl/worksheets/sheet2.xml" Id="Ra6949e4fd979408a" /><Relationship Type="http://schemas.openxmlformats.org/officeDocument/2006/relationships/worksheet" Target="/xl/worksheets/sheet3.xml" Id="R81d592d88ade4ada" /><Relationship Type="http://schemas.openxmlformats.org/officeDocument/2006/relationships/worksheet" Target="/xl/worksheets/sheet4.xml" Id="R644c7df3583c4f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2" hidden="0" customWidth="1"/>
    <x:col min="8" max="8" width="22" hidden="0" customWidth="1"/>
  </x:cols>
  <x:sheetData>
    <x:row r="1" ht="28" customHeight="1">
      <x:c r="A1" s="4" t="str">
        <x:v>Northstar Finance Group - Credit Review Dashboard</x:v>
      </x:c>
      <x:c r="B1" s="4"/>
      <x:c r="C1" s="4"/>
      <x:c r="D1" s="4"/>
      <x:c r="E1" s="4"/>
      <x:c r="F1" s="4"/>
      <x:c r="G1" s="4"/>
      <x:c r="H1" s="4"/>
    </x:row>
    <x:row r="2">
      <x:c r="A2" s="6" t="str">
        <x:v>Fictional Demonstration Data | Meridian Components Ltd. | Review date: 2026-08-25</x:v>
      </x:c>
      <x:c r="B2" s="6"/>
      <x:c r="C2" s="6"/>
      <x:c r="D2" s="6"/>
      <x:c r="E2" s="6"/>
      <x:c r="F2" s="6"/>
      <x:c r="G2" s="6"/>
      <x:c r="H2" s="6"/>
    </x:row>
    <x:row r="4">
      <x:c r="A4" s="11" t="str">
        <x:v>Portfolio exposure</x:v>
      </x:c>
      <x:c r="B4" s="11" t="str">
        <x:v>High-risk items</x:v>
      </x:c>
      <x:c r="C4" s="11" t="str">
        <x:v>Open actions</x:v>
      </x:c>
      <x:c r="D4" s="11" t="str">
        <x:v>Average risk score</x:v>
      </x:c>
      <x:c r="E4" s="11" t="str">
        <x:v>Projected covenant headroom</x:v>
      </x:c>
      <x:c r="F4" s="11" t="str">
        <x:v>Top 3 customer concentration</x:v>
      </x:c>
      <x:c r="G4" s="11" t="str">
        <x:v>Reporting status</x:v>
      </x:c>
      <x:c r="H4" s="11" t="str">
        <x:v>Committee recommendation</x:v>
      </x:c>
    </x:row>
    <x:row r="5" ht="42" customHeight="1">
      <x:c r="A5" s="26" t="n">
        <x:f>SUM('Portfolio Detail'!$E$6:$E$11)</x:f>
        <x:v>32300000</x:v>
      </x:c>
      <x:c r="B5" s="24" t="n">
        <x:f>COUNTIF('Risk Register'!$H$6:$H$15,"High")</x:f>
        <x:v>2</x:v>
      </x:c>
      <x:c r="C5" s="24" t="n">
        <x:f>COUNTIF('Risk Register'!$I$6:$I$15,"Open")</x:f>
        <x:v>8</x:v>
      </x:c>
      <x:c r="D5" s="27" t="n">
        <x:f>AVERAGE('Risk Register'!$G$6:$G$15)</x:f>
        <x:v>0.51</x:v>
      </x:c>
      <x:c r="E5" s="27" t="n">
        <x:f>'Portfolio Detail'!$B$14</x:f>
        <x:v>0.38333333333333336</x:v>
      </x:c>
      <x:c r="F5" s="27" t="n">
        <x:f>'Portfolio Detail'!$H$14</x:f>
        <x:v>0.58</x:v>
      </x:c>
      <x:c r="G5" s="24" t="str">
        <x:f>'Portfolio Detail'!$H$15</x:f>
        <x:v>Conditional approval pending actions</x:v>
      </x:c>
      <x:c r="H5" s="25" t="str">
        <x:f>IF(B5&gt;0,"Committee review required","Standard approval route")</x:f>
        <x:v>Committee review required</x:v>
      </x:c>
    </x:row>
    <x:row r="7">
      <x:c r="A7" s="30" t="str">
        <x:v>Executive summary</x:v>
      </x:c>
      <x:c r="B7" s="30"/>
      <x:c r="C7" s="30"/>
      <x:c r="D7" s="30"/>
      <x:c r="E7" s="30"/>
      <x:c r="F7" s="30"/>
      <x:c r="G7" s="30"/>
      <x:c r="H7" s="30"/>
    </x:row>
    <x:row r="8">
      <x:c r="A8" s="49" t="str">
        <x:v>Meridian Components Ltd. is a fictional manufacturing client with a diversified product base and a material working-capital requirement. The review package identifies two high-severity open risks: revenue concentration and delayed financial reporting. Approval should be subject to documented supply-chain contingency evidence, updated management accounts, and a named owner for each open action.</x:v>
      </x:c>
      <x:c r="B8" s="50"/>
      <x:c r="C8" s="50"/>
      <x:c r="D8" s="50"/>
      <x:c r="E8" s="50"/>
      <x:c r="F8" s="50"/>
      <x:c r="G8" s="50"/>
      <x:c r="H8" s="51"/>
    </x:row>
    <x:row r="9">
      <x:c r="A9" s="52"/>
      <x:c r="B9" s="53"/>
      <x:c r="C9" s="53"/>
      <x:c r="D9" s="53"/>
      <x:c r="E9" s="53"/>
      <x:c r="F9" s="53"/>
      <x:c r="G9" s="53"/>
      <x:c r="H9" s="54"/>
    </x:row>
    <x:row r="10">
      <x:c r="A10" s="55"/>
      <x:c r="B10" s="56"/>
      <x:c r="C10" s="56"/>
      <x:c r="D10" s="56"/>
      <x:c r="E10" s="56"/>
      <x:c r="F10" s="56"/>
      <x:c r="G10" s="56"/>
      <x:c r="H10" s="57"/>
    </x:row>
    <x:row r="12">
      <x:c r="A12" s="30" t="str">
        <x:v>Priority actions</x:v>
      </x:c>
      <x:c r="B12" s="30"/>
      <x:c r="C12" s="30"/>
      <x:c r="D12" s="30"/>
    </x:row>
    <x:row r="13">
      <x:c r="A13" s="79" t="str">
        <x:v>Priority</x:v>
      </x:c>
      <x:c r="B13" s="80" t="str">
        <x:v>Required action</x:v>
      </x:c>
      <x:c r="C13" s="80" t="str">
        <x:v>Owner</x:v>
      </x:c>
      <x:c r="D13" s="81" t="str">
        <x:v>Target date</x:v>
      </x:c>
    </x:row>
    <x:row r="14">
      <x:c r="A14" s="82" t="str">
        <x:v>High</x:v>
      </x:c>
      <x:c r="B14" s="68" t="str">
        <x:v>Obtain customer concentration mitigation plan</x:v>
      </x:c>
      <x:c r="C14" s="68" t="str">
        <x:v>Relationship Management</x:v>
      </x:c>
      <x:c r="D14" s="83" t="str">
        <x:v>2026-09-02</x:v>
      </x:c>
    </x:row>
    <x:row r="15">
      <x:c r="A15" s="84" t="str">
        <x:v>High</x:v>
      </x:c>
      <x:c r="B15" s="71" t="str">
        <x:v>Receive August management accounts and covenant certificate</x:v>
      </x:c>
      <x:c r="C15" s="71" t="str">
        <x:v>Finance</x:v>
      </x:c>
      <x:c r="D15" s="85" t="str">
        <x:v>2026-08-29</x:v>
      </x:c>
    </x:row>
    <x:row r="16">
      <x:c r="A16" s="86" t="str">
        <x:v>Medium</x:v>
      </x:c>
      <x:c r="B16" s="87" t="str">
        <x:v>Confirm dual-source supplier contingency plan</x:v>
      </x:c>
      <x:c r="C16" s="87" t="str">
        <x:v>Operations</x:v>
      </x:c>
      <x:c r="D16" s="88" t="str">
        <x:v>2026-09-09</x:v>
      </x:c>
    </x:row>
  </x:sheetData>
  <x:mergeCells>
    <x:mergeCell ref="A1:H1"/>
    <x:mergeCell ref="A2:H2"/>
    <x:mergeCell ref="A7:H7"/>
    <x:mergeCell ref="A8:H10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7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4" hidden="0" customWidth="1"/>
  </x:cols>
  <x:sheetData>
    <x:row r="1">
      <x:c r="A1" s="4" t="str">
        <x:v>Meridian Components Ltd. - Risk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6" t="str">
        <x:v>Fictional Demonstration Data | Open and closed actions for credit committee review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5">
      <x:c r="A5" s="79" t="str">
        <x:v>Risk ID</x:v>
      </x:c>
      <x:c r="B5" s="80" t="str">
        <x:v>Category</x:v>
      </x:c>
      <x:c r="C5" s="80" t="str">
        <x:v>Risk statement</x:v>
      </x:c>
      <x:c r="D5" s="80" t="str">
        <x:v>Owner</x:v>
      </x:c>
      <x:c r="E5" s="80" t="str">
        <x:v>Exposure</x:v>
      </x:c>
      <x:c r="F5" s="80" t="str">
        <x:v>Opened</x:v>
      </x:c>
      <x:c r="G5" s="80" t="str">
        <x:v>Risk score</x:v>
      </x:c>
      <x:c r="H5" s="80" t="str">
        <x:v>Severity</x:v>
      </x:c>
      <x:c r="I5" s="80" t="str">
        <x:v>Status</x:v>
      </x:c>
      <x:c r="J5" s="81" t="str">
        <x:v>Recommended action</x:v>
      </x:c>
    </x:row>
    <x:row r="6" ht="34" customHeight="1">
      <x:c r="A6" s="116" t="str">
        <x:v>R-101</x:v>
      </x:c>
      <x:c r="B6" s="108" t="str">
        <x:v>Credit</x:v>
      </x:c>
      <x:c r="C6" s="108" t="str">
        <x:v>Top three customers represent 58% of annual revenue.</x:v>
      </x:c>
      <x:c r="D6" s="108" t="str">
        <x:v>Relationship Management</x:v>
      </x:c>
      <x:c r="E6" s="123" t="n">
        <x:v>12400000</x:v>
      </x:c>
      <x:c r="F6" s="126" t="str">
        <x:v>2026-08-12</x:v>
      </x:c>
      <x:c r="G6" s="129" t="n">
        <x:v>0.82</x:v>
      </x:c>
      <x:c r="H6" s="108" t="str">
        <x:v>High</x:v>
      </x:c>
      <x:c r="I6" s="108" t="str">
        <x:v>Open</x:v>
      </x:c>
      <x:c r="J6" s="117" t="str">
        <x:v>Obtain concentration mitigation plan and contract renewal evidence.</x:v>
      </x:c>
    </x:row>
    <x:row r="7" ht="34" customHeight="1">
      <x:c r="A7" s="118" t="str">
        <x:v>R-102</x:v>
      </x:c>
      <x:c r="B7" s="111" t="str">
        <x:v>Financial</x:v>
      </x:c>
      <x:c r="C7" s="111" t="str">
        <x:v>August management accounts were submitted nine business days late.</x:v>
      </x:c>
      <x:c r="D7" s="111" t="str">
        <x:v>Finance</x:v>
      </x:c>
      <x:c r="E7" s="124" t="n">
        <x:v>8600000</x:v>
      </x:c>
      <x:c r="F7" s="127" t="str">
        <x:v>2026-08-16</x:v>
      </x:c>
      <x:c r="G7" s="130" t="n">
        <x:v>0.76</x:v>
      </x:c>
      <x:c r="H7" s="111" t="str">
        <x:v>High</x:v>
      </x:c>
      <x:c r="I7" s="111" t="str">
        <x:v>Open</x:v>
      </x:c>
      <x:c r="J7" s="119" t="str">
        <x:v>Require updated accounts and covenant certificate before approval.</x:v>
      </x:c>
    </x:row>
    <x:row r="8" ht="34" customHeight="1">
      <x:c r="A8" s="118" t="str">
        <x:v>R-103</x:v>
      </x:c>
      <x:c r="B8" s="111" t="str">
        <x:v>Operations</x:v>
      </x:c>
      <x:c r="C8" s="111" t="str">
        <x:v>Two critical suppliers are located in the same region.</x:v>
      </x:c>
      <x:c r="D8" s="111" t="str">
        <x:v>Operations</x:v>
      </x:c>
      <x:c r="E8" s="124" t="n">
        <x:v>5100000</x:v>
      </x:c>
      <x:c r="F8" s="127" t="str">
        <x:v>2026-08-10</x:v>
      </x:c>
      <x:c r="G8" s="130" t="n">
        <x:v>0.68</x:v>
      </x:c>
      <x:c r="H8" s="111" t="str">
        <x:v>Medium</x:v>
      </x:c>
      <x:c r="I8" s="111" t="str">
        <x:v>Open</x:v>
      </x:c>
      <x:c r="J8" s="119" t="str">
        <x:v>Confirm dual-source contingency and safety-stock plan.</x:v>
      </x:c>
    </x:row>
    <x:row r="9" ht="34" customHeight="1">
      <x:c r="A9" s="118" t="str">
        <x:v>R-104</x:v>
      </x:c>
      <x:c r="B9" s="111" t="str">
        <x:v>Legal</x:v>
      </x:c>
      <x:c r="C9" s="111" t="str">
        <x:v>Supplier insurance certificates expire within 45 days.</x:v>
      </x:c>
      <x:c r="D9" s="111" t="str">
        <x:v>Legal</x:v>
      </x:c>
      <x:c r="E9" s="124" t="n">
        <x:v>2400000</x:v>
      </x:c>
      <x:c r="F9" s="127" t="str">
        <x:v>2026-08-18</x:v>
      </x:c>
      <x:c r="G9" s="130" t="n">
        <x:v>0.44</x:v>
      </x:c>
      <x:c r="H9" s="111" t="str">
        <x:v>Medium</x:v>
      </x:c>
      <x:c r="I9" s="111" t="str">
        <x:v>Open</x:v>
      </x:c>
      <x:c r="J9" s="119" t="str">
        <x:v>Collect renewed certificates before first drawdown.</x:v>
      </x:c>
    </x:row>
    <x:row r="10" ht="34" customHeight="1">
      <x:c r="A10" s="118" t="str">
        <x:v>R-105</x:v>
      </x:c>
      <x:c r="B10" s="111" t="str">
        <x:v>Compliance</x:v>
      </x:c>
      <x:c r="C10" s="111" t="str">
        <x:v>Beneficial ownership evidence has been independently verified.</x:v>
      </x:c>
      <x:c r="D10" s="111" t="str">
        <x:v>Compliance</x:v>
      </x:c>
      <x:c r="E10" s="124" t="n">
        <x:v>0</x:v>
      </x:c>
      <x:c r="F10" s="127" t="str">
        <x:v>2026-08-08</x:v>
      </x:c>
      <x:c r="G10" s="130" t="n">
        <x:v>0.18</x:v>
      </x:c>
      <x:c r="H10" s="111" t="str">
        <x:v>Low</x:v>
      </x:c>
      <x:c r="I10" s="111" t="str">
        <x:v>Closed</x:v>
      </x:c>
      <x:c r="J10" s="119" t="str">
        <x:v>Retain verification record in onboarding file.</x:v>
      </x:c>
    </x:row>
    <x:row r="11" ht="34" customHeight="1">
      <x:c r="A11" s="118" t="str">
        <x:v>R-106</x:v>
      </x:c>
      <x:c r="B11" s="111" t="str">
        <x:v>Credit</x:v>
      </x:c>
      <x:c r="C11" s="111" t="str">
        <x:v>Projected covenant headroom narrows under a 10% revenue stress.</x:v>
      </x:c>
      <x:c r="D11" s="111" t="str">
        <x:v>Credit Risk</x:v>
      </x:c>
      <x:c r="E11" s="124" t="n">
        <x:v>9800000</x:v>
      </x:c>
      <x:c r="F11" s="127" t="str">
        <x:v>2026-08-14</x:v>
      </x:c>
      <x:c r="G11" s="130" t="n">
        <x:v>0.63</x:v>
      </x:c>
      <x:c r="H11" s="111" t="str">
        <x:v>Medium</x:v>
      </x:c>
      <x:c r="I11" s="111" t="str">
        <x:v>Open</x:v>
      </x:c>
      <x:c r="J11" s="119" t="str">
        <x:v>Set quarterly monitoring and cash conversion trigger.</x:v>
      </x:c>
    </x:row>
    <x:row r="12" ht="34" customHeight="1">
      <x:c r="A12" s="118" t="str">
        <x:v>R-107</x:v>
      </x:c>
      <x:c r="B12" s="111" t="str">
        <x:v>Operations</x:v>
      </x:c>
      <x:c r="C12" s="111" t="str">
        <x:v>Inventory build increases working-capital utilisation before Q4.</x:v>
      </x:c>
      <x:c r="D12" s="111" t="str">
        <x:v>Operations</x:v>
      </x:c>
      <x:c r="E12" s="124" t="n">
        <x:v>7200000</x:v>
      </x:c>
      <x:c r="F12" s="127" t="str">
        <x:v>2026-08-19</x:v>
      </x:c>
      <x:c r="G12" s="130" t="n">
        <x:v>0.56</x:v>
      </x:c>
      <x:c r="H12" s="111" t="str">
        <x:v>Medium</x:v>
      </x:c>
      <x:c r="I12" s="111" t="str">
        <x:v>Open</x:v>
      </x:c>
      <x:c r="J12" s="119" t="str">
        <x:v>Review inventory ageing during monthly monitoring.</x:v>
      </x:c>
    </x:row>
    <x:row r="13" ht="34" customHeight="1">
      <x:c r="A13" s="118" t="str">
        <x:v>R-108</x:v>
      </x:c>
      <x:c r="B13" s="111" t="str">
        <x:v>Data</x:v>
      </x:c>
      <x:c r="C13" s="111" t="str">
        <x:v>Management reporting pack does not include a segmented receivables ageing.</x:v>
      </x:c>
      <x:c r="D13" s="111" t="str">
        <x:v>Finance</x:v>
      </x:c>
      <x:c r="E13" s="124" t="n">
        <x:v>3100000</x:v>
      </x:c>
      <x:c r="F13" s="127" t="str">
        <x:v>2026-08-17</x:v>
      </x:c>
      <x:c r="G13" s="130" t="n">
        <x:v>0.51</x:v>
      </x:c>
      <x:c r="H13" s="111" t="str">
        <x:v>Medium</x:v>
      </x:c>
      <x:c r="I13" s="111" t="str">
        <x:v>Open</x:v>
      </x:c>
      <x:c r="J13" s="119" t="str">
        <x:v>Request customer-level ageing and dispute analysis.</x:v>
      </x:c>
    </x:row>
    <x:row r="14" ht="34" customHeight="1">
      <x:c r="A14" s="118" t="str">
        <x:v>R-109</x:v>
      </x:c>
      <x:c r="B14" s="111" t="str">
        <x:v>Credit</x:v>
      </x:c>
      <x:c r="C14" s="111" t="str">
        <x:v>Security valuation was completed within the last six months.</x:v>
      </x:c>
      <x:c r="D14" s="111" t="str">
        <x:v>Credit Risk</x:v>
      </x:c>
      <x:c r="E14" s="124" t="n">
        <x:v>0</x:v>
      </x:c>
      <x:c r="F14" s="127" t="str">
        <x:v>2026-08-09</x:v>
      </x:c>
      <x:c r="G14" s="130" t="n">
        <x:v>0.15</x:v>
      </x:c>
      <x:c r="H14" s="111" t="str">
        <x:v>Low</x:v>
      </x:c>
      <x:c r="I14" s="111" t="str">
        <x:v>Closed</x:v>
      </x:c>
      <x:c r="J14" s="119" t="str">
        <x:v>No further action required.</x:v>
      </x:c>
    </x:row>
    <x:row r="15" ht="34" customHeight="1">
      <x:c r="A15" s="120" t="str">
        <x:v>R-110</x:v>
      </x:c>
      <x:c r="B15" s="121" t="str">
        <x:v>Legal</x:v>
      </x:c>
      <x:c r="C15" s="121" t="str">
        <x:v>Material contracts include change-of-control clauses.</x:v>
      </x:c>
      <x:c r="D15" s="121" t="str">
        <x:v>Legal</x:v>
      </x:c>
      <x:c r="E15" s="125" t="n">
        <x:v>1700000</x:v>
      </x:c>
      <x:c r="F15" s="128" t="str">
        <x:v>2026-08-21</x:v>
      </x:c>
      <x:c r="G15" s="131" t="n">
        <x:v>0.37</x:v>
      </x:c>
      <x:c r="H15" s="121" t="str">
        <x:v>Low</x:v>
      </x:c>
      <x:c r="I15" s="121" t="str">
        <x:v>Open</x:v>
      </x:c>
      <x:c r="J15" s="122" t="str">
        <x:v>Confirm clauses do not restrict facility documentation.</x:v>
      </x:c>
    </x:row>
  </x:sheetData>
  <x:mergeCells>
    <x:mergeCell ref="A1:J1"/>
    <x:mergeCell ref="A2:J2"/>
  </x:mergeCells>
  <x:conditionalFormatting sqref="H6:H15">
    <x:cfRule type="containsText" dxfId="0" priority="1" operator="containsText" text="High"/>
  </x:conditionalFormatting>
  <x:conditionalFormatting sqref="I6:I15">
    <x:cfRule type="containsText" dxfId="1" priority="2" operator="containsText" text="Ope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</x:cols>
  <x:sheetData>
    <x:row r="1">
      <x:c r="A1" s="4" t="str">
        <x:v>Meridian Components Ltd. - Portfolio Detail</x:v>
      </x:c>
      <x:c r="B1" s="4"/>
      <x:c r="C1" s="4"/>
      <x:c r="D1" s="4"/>
      <x:c r="E1" s="4"/>
      <x:c r="F1" s="4"/>
      <x:c r="G1" s="4"/>
      <x:c r="H1" s="4"/>
    </x:row>
    <x:row r="2">
      <x:c r="A2" s="6" t="str">
        <x:v>Fictional Demonstration Data | Facility and financial snapshot used in the credit review</x:v>
      </x:c>
      <x:c r="B2" s="6"/>
      <x:c r="C2" s="6"/>
      <x:c r="D2" s="6"/>
      <x:c r="E2" s="6"/>
      <x:c r="F2" s="6"/>
      <x:c r="G2" s="6"/>
      <x:c r="H2" s="6"/>
    </x:row>
    <x:row r="5">
      <x:c r="A5" s="79" t="str">
        <x:v>Facility</x:v>
      </x:c>
      <x:c r="B5" s="80" t="str">
        <x:v>Limit</x:v>
      </x:c>
      <x:c r="C5" s="80" t="str">
        <x:v>Utilised</x:v>
      </x:c>
      <x:c r="D5" s="80" t="str">
        <x:v>Availability</x:v>
      </x:c>
      <x:c r="E5" s="80" t="str">
        <x:v>Outstanding exposure</x:v>
      </x:c>
      <x:c r="F5" s="80" t="str">
        <x:v>Rate</x:v>
      </x:c>
      <x:c r="G5" s="80" t="str">
        <x:v>Maturity</x:v>
      </x:c>
      <x:c r="H5" s="81" t="str">
        <x:v>Comment</x:v>
      </x:c>
    </x:row>
    <x:row r="6">
      <x:c r="A6" s="132" t="str">
        <x:v>Working Capital Revolver</x:v>
      </x:c>
      <x:c r="B6" s="139" t="n">
        <x:v>18000000</x:v>
      </x:c>
      <x:c r="C6" s="139" t="n">
        <x:v>12400000</x:v>
      </x:c>
      <x:c r="D6" s="139" t="n">
        <x:f>B6-C6</x:f>
        <x:v>5600000</x:v>
      </x:c>
      <x:c r="E6" s="139" t="n">
        <x:v>12400000</x:v>
      </x:c>
      <x:c r="F6" s="142" t="n">
        <x:v>0.0725</x:v>
      </x:c>
      <x:c r="G6" s="145" t="str">
        <x:v>2027-06-30</x:v>
      </x:c>
      <x:c r="H6" s="133" t="str">
        <x:v>Seasonal inventory and receivables funding</x:v>
      </x:c>
    </x:row>
    <x:row r="7">
      <x:c r="A7" s="134" t="str">
        <x:v>Term Loan A</x:v>
      </x:c>
      <x:c r="B7" s="140" t="n">
        <x:v>9500000</x:v>
      </x:c>
      <x:c r="C7" s="140" t="n">
        <x:v>8200000</x:v>
      </x:c>
      <x:c r="D7" s="140" t="n">
        <x:f>B7-C7</x:f>
        <x:v>1300000</x:v>
      </x:c>
      <x:c r="E7" s="140" t="n">
        <x:v>8200000</x:v>
      </x:c>
      <x:c r="F7" s="143" t="n">
        <x:v>0.069</x:v>
      </x:c>
      <x:c r="G7" s="146" t="str">
        <x:v>2029-12-31</x:v>
      </x:c>
      <x:c r="H7" s="135" t="str">
        <x:v>Plant modernisation capex</x:v>
      </x:c>
    </x:row>
    <x:row r="8">
      <x:c r="A8" s="134" t="str">
        <x:v>Term Loan B</x:v>
      </x:c>
      <x:c r="B8" s="140" t="n">
        <x:v>6000000</x:v>
      </x:c>
      <x:c r="C8" s="140" t="n">
        <x:v>5900000</x:v>
      </x:c>
      <x:c r="D8" s="140" t="n">
        <x:f>B8-C8</x:f>
        <x:v>100000</x:v>
      </x:c>
      <x:c r="E8" s="140" t="n">
        <x:v>5900000</x:v>
      </x:c>
      <x:c r="F8" s="143" t="n">
        <x:v>0.071</x:v>
      </x:c>
      <x:c r="G8" s="146" t="str">
        <x:v>2030-03-31</x:v>
      </x:c>
      <x:c r="H8" s="135" t="str">
        <x:v>Acquisition financing</x:v>
      </x:c>
    </x:row>
    <x:row r="9">
      <x:c r="A9" s="134" t="str">
        <x:v>Trade Finance Line</x:v>
      </x:c>
      <x:c r="B9" s="140" t="n">
        <x:v>4500000</x:v>
      </x:c>
      <x:c r="C9" s="140" t="n">
        <x:v>2100000</x:v>
      </x:c>
      <x:c r="D9" s="140" t="n">
        <x:f>B9-C9</x:f>
        <x:v>2400000</x:v>
      </x:c>
      <x:c r="E9" s="140" t="n">
        <x:v>2100000</x:v>
      </x:c>
      <x:c r="F9" s="143" t="n">
        <x:v>0.074</x:v>
      </x:c>
      <x:c r="G9" s="146" t="str">
        <x:v>2027-09-30</x:v>
      </x:c>
      <x:c r="H9" s="135" t="str">
        <x:v>Import letters of credit</x:v>
      </x:c>
    </x:row>
    <x:row r="10">
      <x:c r="A10" s="134" t="str">
        <x:v>Equipment Lease</x:v>
      </x:c>
      <x:c r="B10" s="140" t="n">
        <x:v>3500000</x:v>
      </x:c>
      <x:c r="C10" s="140" t="n">
        <x:v>2300000</x:v>
      </x:c>
      <x:c r="D10" s="140" t="n">
        <x:f>B10-C10</x:f>
        <x:v>1200000</x:v>
      </x:c>
      <x:c r="E10" s="140" t="n">
        <x:v>2300000</x:v>
      </x:c>
      <x:c r="F10" s="143" t="n">
        <x:v>0.0615</x:v>
      </x:c>
      <x:c r="G10" s="146" t="str">
        <x:v>2028-05-31</x:v>
      </x:c>
      <x:c r="H10" s="135" t="str">
        <x:v>Automated assembly equipment</x:v>
      </x:c>
    </x:row>
    <x:row r="11">
      <x:c r="A11" s="136" t="str">
        <x:v>Guarantee Facility</x:v>
      </x:c>
      <x:c r="B11" s="141" t="n">
        <x:v>2500000</x:v>
      </x:c>
      <x:c r="C11" s="141" t="n">
        <x:v>1400000</x:v>
      </x:c>
      <x:c r="D11" s="141" t="n">
        <x:f>B11-C11</x:f>
        <x:v>1100000</x:v>
      </x:c>
      <x:c r="E11" s="141" t="n">
        <x:v>1400000</x:v>
      </x:c>
      <x:c r="F11" s="144" t="n">
        <x:v>0.058</x:v>
      </x:c>
      <x:c r="G11" s="147" t="str">
        <x:v>2027-12-31</x:v>
      </x:c>
      <x:c r="H11" s="138" t="str">
        <x:v>Performance guarantees</x:v>
      </x:c>
    </x:row>
    <x:row r="13">
      <x:c r="A13" s="30" t="str">
        <x:v>Key monitoring metrics</x:v>
      </x:c>
      <x:c r="B13" s="30" t="str">
        <x:v>Value</x:v>
      </x:c>
      <x:c r="C13" s="30" t="str"/>
      <x:c r="D13" s="30" t="str"/>
      <x:c r="E13" s="30" t="str"/>
      <x:c r="F13" s="30" t="str"/>
      <x:c r="G13" s="30" t="str"/>
      <x:c r="H13" s="30" t="str"/>
    </x:row>
    <x:row r="14">
      <x:c r="A14" s="157" t="str">
        <x:v>Projected covenant headroom</x:v>
      </x:c>
      <x:c r="B14" s="158" t="n">
        <x:f>(D6+D7)/B6</x:f>
        <x:v>0.38333333333333336</x:v>
      </x:c>
      <x:c r="C14" s="159" t="str"/>
      <x:c r="D14" s="159" t="str">
        <x:v>Minimum required headroom</x:v>
      </x:c>
      <x:c r="E14" s="158" t="n">
        <x:v>0.15</x:v>
      </x:c>
      <x:c r="F14" s="159" t="str"/>
      <x:c r="G14" s="159" t="str">
        <x:v>Top 3 customer concentration</x:v>
      </x:c>
      <x:c r="H14" s="160" t="n">
        <x:f>0.58</x:f>
        <x:v>0.58</x:v>
      </x:c>
    </x:row>
    <x:row r="15">
      <x:c r="A15" s="161" t="str">
        <x:v>Reporting timeliness</x:v>
      </x:c>
      <x:c r="B15" s="162" t="str">
        <x:v>August pack delivered 9 business days late</x:v>
      </x:c>
      <x:c r="C15" s="162" t="str"/>
      <x:c r="D15" s="162" t="str">
        <x:v>Inventory build outlook</x:v>
      </x:c>
      <x:c r="E15" s="162" t="str">
        <x:v>Moderate increase expected in Q4</x:v>
      </x:c>
      <x:c r="F15" s="162" t="str"/>
      <x:c r="G15" s="162" t="str">
        <x:v>Recommendation</x:v>
      </x:c>
      <x:c r="H15" s="163" t="str">
        <x:v>Conditional approval pending actions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5" hidden="0" customWidth="1"/>
  </x:cols>
  <x:sheetData>
    <x:row r="1">
      <x:c r="A1" s="4" t="str">
        <x:v>Demo data notes</x:v>
      </x:c>
      <x:c r="B1" s="4"/>
      <x:c r="C1" s="4"/>
      <x:c r="D1" s="4"/>
      <x:c r="E1" s="4"/>
      <x:c r="F1" s="4"/>
    </x:row>
    <x:row r="3" ht="48" customHeight="1">
      <x:c r="A3" s="171" t="str">
        <x:v>This workbook contains fictional demonstration data only.</x:v>
      </x:c>
      <x:c r="B3" s="172" t="str"/>
      <x:c r="C3" s="172" t="str"/>
      <x:c r="D3" s="172" t="str"/>
      <x:c r="E3" s="172" t="str"/>
      <x:c r="F3" s="173" t="str"/>
    </x:row>
    <x:row r="4" ht="48" customHeight="1">
      <x:c r="A4" s="174" t="str">
        <x:v>Suggested use</x:v>
      </x:c>
      <x:c r="B4" s="175" t="str">
        <x:v>Attach this workbook with the accompanying PDF and TXT brief, then request an executive summary, risk review, or action tracker.</x:v>
      </x:c>
      <x:c r="C4" s="175" t="str"/>
      <x:c r="D4" s="175" t="str"/>
      <x:c r="E4" s="175" t="str"/>
      <x:c r="F4" s="176" t="str"/>
    </x:row>
    <x:row r="5" ht="48" customHeight="1">
      <x:c r="A5" s="174" t="str">
        <x:v>Workbook guide</x:v>
      </x:c>
      <x:c r="B5" s="175" t="str">
        <x:v>Executive Dashboard contains formula-driven summary metrics. Risk Register contains the detailed action-level record. Portfolio Detail contains facility and monitoring data.</x:v>
      </x:c>
      <x:c r="C5" s="175" t="str"/>
      <x:c r="D5" s="175" t="str"/>
      <x:c r="E5" s="175" t="str"/>
      <x:c r="F5" s="176" t="str"/>
    </x:row>
    <x:row r="6" ht="48" customHeight="1">
      <x:c r="A6" s="174" t="str">
        <x:v>Presentation note</x:v>
      </x:c>
      <x:c r="B6" s="175" t="str">
        <x:v>All client names, figures, dates, and risk statements are invented for a college demonstration. Do not treat them as financial advice or real customer information.</x:v>
      </x:c>
      <x:c r="C6" s="175" t="str"/>
      <x:c r="D6" s="175" t="str"/>
      <x:c r="E6" s="175" t="str"/>
      <x:c r="F6" s="176" t="str"/>
    </x:row>
    <x:row r="7" ht="48" customHeight="1">
      <x:c r="A7" s="174" t="str">
        <x:v>Prepared for</x:v>
      </x:c>
      <x:c r="B7" s="175" t="str">
        <x:v>Document Review Workspace demonstration</x:v>
      </x:c>
      <x:c r="C7" s="175" t="str"/>
      <x:c r="D7" s="175" t="str"/>
      <x:c r="E7" s="175" t="str"/>
      <x:c r="F7" s="176" t="str"/>
    </x:row>
    <x:row r="8" ht="48" customHeight="1">
      <x:c r="A8" s="177" t="str">
        <x:v>Prepared date</x:v>
      </x:c>
      <x:c r="B8" s="178" t="str">
        <x:v>2026-08-25</x:v>
      </x:c>
      <x:c r="C8" s="178" t="str"/>
      <x:c r="D8" s="178" t="str"/>
      <x:c r="E8" s="178" t="str"/>
      <x:c r="F8" s="179" t="str"/>
    </x:row>
  </x:sheetData>
  <x:mergeCells>
    <x:mergeCell ref="A1:F1"/>
  </x:mergeCells>
  <x:pageMargins left="0.7" right="0.7" top="0.75" bottom="0.75" header="0.3" footer="0.3"/>
</x:worksheet>
</file>